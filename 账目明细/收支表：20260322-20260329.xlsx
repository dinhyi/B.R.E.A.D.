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<sst xmlns="http://schemas.openxmlformats.org/spreadsheetml/2006/main" count="63" uniqueCount="41">
  <si>
    <t>骑手爱心服务站收支表</t>
  </si>
  <si>
    <t>起始日期</t>
  </si>
  <si>
    <t>本周总收入</t>
  </si>
  <si>
    <t>上周结余</t>
  </si>
  <si>
    <t>结束日期</t>
  </si>
  <si>
    <t>本周总支出</t>
  </si>
  <si>
    <t>本周结余</t>
  </si>
  <si>
    <t>序号</t>
  </si>
  <si>
    <t>日期</t>
  </si>
  <si>
    <t>摘要</t>
  </si>
  <si>
    <t>类型</t>
  </si>
  <si>
    <t>金额/元</t>
  </si>
  <si>
    <t>经手人</t>
  </si>
  <si>
    <t>备注</t>
  </si>
  <si>
    <t>初始资金</t>
  </si>
  <si>
    <t>收入</t>
  </si>
  <si>
    <t>冯依政</t>
  </si>
  <si>
    <t>学姐捐赠的面包</t>
  </si>
  <si>
    <t>实物</t>
  </si>
  <si>
    <t>价值约360元</t>
  </si>
  <si>
    <t>购买20包午餐肉</t>
  </si>
  <si>
    <t>支出</t>
  </si>
  <si>
    <t>购买24瓶饮用水</t>
  </si>
  <si>
    <t>龙可欣</t>
  </si>
  <si>
    <t>快递包裹由冯依政取走</t>
  </si>
  <si>
    <t>购买170颗陈皮糖+话梅糖</t>
  </si>
  <si>
    <t>卖出3个小面包</t>
  </si>
  <si>
    <t>冯依政室友晚上饿了，吃了学姐捐赠的三个小面包，给了我们组织3元钱</t>
  </si>
  <si>
    <t>收到黄同学捐款</t>
  </si>
  <si>
    <t>收到陈同学捐款</t>
  </si>
  <si>
    <t>在桂太太购买一箱矿泉水（24瓶）</t>
  </si>
  <si>
    <t>淘宝闪购，购买一箱哇哈哈矿泉水（12瓶）+辣条</t>
  </si>
  <si>
    <t>辣条用于凑单，后续会随机送给一名户外工作者</t>
  </si>
  <si>
    <t>印刷传单</t>
  </si>
  <si>
    <t>活动宣传用的传单</t>
  </si>
  <si>
    <t>支付宝小荷包安心攒活期收益</t>
  </si>
  <si>
    <t>支付宝</t>
  </si>
  <si>
    <t>低偿提供小面包和糖果</t>
  </si>
  <si>
    <t>史浩然</t>
  </si>
  <si>
    <t>共卖出两份</t>
  </si>
  <si>
    <t>制表人：PB23081540龙可欣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</si>
</sst>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6"/>
      <color theme="1"/>
      <name val="Microsoft YaHei"/>
      <charset val="134"/>
    </font>
    <font>
      <b/>
      <sz val="11"/>
      <color theme="0"/>
      <name val="宋体"/>
      <charset val="134"/>
      <scheme val="minor"/>
    </font>
    <font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/>
      </bottom>
      <diagonal/>
    </border>
    <border>
      <left/>
      <right/>
      <top style="thin">
        <color theme="4" tint="0.399975585192419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5" borderId="8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9">
      <alignment vertical="center"/>
    </xf>
    <xf numFmtId="0" fontId="10" fillId="0" borderId="9">
      <alignment vertical="center"/>
    </xf>
    <xf numFmtId="0" fontId="11" fillId="0" borderId="10">
      <alignment vertical="center"/>
    </xf>
    <xf numFmtId="0" fontId="11" fillId="0" borderId="0">
      <alignment vertical="center"/>
    </xf>
    <xf numFmtId="0" fontId="12" fillId="6" borderId="11">
      <alignment vertical="center"/>
    </xf>
    <xf numFmtId="0" fontId="13" fillId="7" borderId="12">
      <alignment vertical="center"/>
    </xf>
    <xf numFmtId="0" fontId="14" fillId="7" borderId="11">
      <alignment vertical="center"/>
    </xf>
    <xf numFmtId="0" fontId="15" fillId="8" borderId="13">
      <alignment vertical="center"/>
    </xf>
    <xf numFmtId="0" fontId="16" fillId="0" borderId="14">
      <alignment vertical="center"/>
    </xf>
    <xf numFmtId="0" fontId="17" fillId="0" borderId="15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2" fillId="33" borderId="0">
      <alignment vertical="center"/>
    </xf>
    <xf numFmtId="0" fontId="22" fillId="34" borderId="0">
      <alignment vertical="center"/>
    </xf>
    <xf numFmtId="0" fontId="21" fillId="35" borderId="0">
      <alignment vertical="center"/>
    </xf>
  </cellStyleXfs>
  <cellXfs count="18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31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4" xfId="0" applyFont="1" applyFill="1" applyBorder="1" applyAlignment="1">
      <alignment horizontal="center" vertical="center" wrapText="1"/>
    </xf>
    <xf numFmtId="0" fontId="0" fillId="4" borderId="5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left" vertical="center" wrapText="1"/>
    </xf>
    <xf numFmtId="0" fontId="0" fillId="0" borderId="6" xfId="0" applyFont="1" applyFill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449A4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tabSelected="1" workbookViewId="0">
      <selection activeCell="I6" sqref="I6"/>
    </sheetView>
  </sheetViews>
  <sheetFormatPr defaultColWidth="9" defaultRowHeight="17" customHeight="1"/>
  <cols>
    <col min="1" max="1" width="11" style="1" customWidth="1"/>
    <col min="2" max="2" width="14.3636363636364" style="1" customWidth="1"/>
    <col min="3" max="3" width="23.1818181818182" style="1" customWidth="1"/>
    <col min="4" max="4" width="12.8181818181818" style="1" customWidth="1"/>
    <col min="5" max="5" width="10.3636363636364" style="1" customWidth="1"/>
    <col min="6" max="6" width="9.18181818181818" style="1" customWidth="1"/>
    <col min="7" max="7" width="11.7272727272727" style="2" customWidth="1"/>
    <col min="8" max="8" width="12.2727272727273" style="2" customWidth="1"/>
    <col min="9" max="16384" width="9" style="1"/>
  </cols>
  <sheetData>
    <row r="1" ht="49" customHeight="1" spans="1:11">
      <c r="A1" s="3" t="s">
        <v>0</v>
      </c>
      <c r="B1" s="3"/>
      <c r="C1" s="3"/>
      <c r="D1" s="3"/>
      <c r="E1" s="3"/>
      <c r="F1" s="3"/>
      <c r="G1" s="3"/>
      <c r="H1" s="3"/>
    </row>
    <row r="2" ht="22.5" customHeight="1" spans="1:11">
      <c r="A2" s="4" t="s">
        <v>1</v>
      </c>
      <c r="B2" s="5">
        <v>46103</v>
      </c>
      <c r="C2" s="6"/>
      <c r="D2" s="4" t="s">
        <v>2</v>
      </c>
      <c r="E2" s="6">
        <f>E6+E11+E12+E13+E17+E18+E19</f>
        <v>1229.17</v>
      </c>
      <c r="F2" s="6"/>
      <c r="G2" s="4" t="s">
        <v>3</v>
      </c>
      <c r="H2" s="6">
        <v>0</v>
      </c>
    </row>
    <row r="3" ht="22.5" customHeight="1" spans="1:11">
      <c r="A3" s="7" t="s">
        <v>4</v>
      </c>
      <c r="B3" s="5">
        <v>46110</v>
      </c>
      <c r="C3" s="6"/>
      <c r="D3" s="7" t="s">
        <v>5</v>
      </c>
      <c r="E3" s="6">
        <f>E8+E9+E10+E14+E15+E16</f>
        <v>81.86</v>
      </c>
      <c r="F3" s="6"/>
      <c r="G3" s="7" t="s">
        <v>6</v>
      </c>
      <c r="H3" s="6">
        <f>H2+E2-E3</f>
        <v>1147.31</v>
      </c>
    </row>
    <row r="4" ht="22.5" customHeight="1" spans="1:11">
      <c r="A4" s="2"/>
      <c r="B4" s="2"/>
      <c r="C4" s="2"/>
      <c r="D4" s="2"/>
      <c r="E4" s="2"/>
      <c r="F4" s="2"/>
    </row>
    <row r="5" ht="22.5" customHeight="1" spans="1:11">
      <c r="A5" s="8" t="s">
        <v>7</v>
      </c>
      <c r="B5" s="7" t="s">
        <v>8</v>
      </c>
      <c r="C5" s="9" t="s">
        <v>9</v>
      </c>
      <c r="D5" s="7" t="s">
        <v>10</v>
      </c>
      <c r="E5" s="7" t="s">
        <v>11</v>
      </c>
      <c r="F5" s="7" t="s">
        <v>12</v>
      </c>
      <c r="G5" s="7" t="s">
        <v>13</v>
      </c>
      <c r="H5" s="7"/>
      <c r="K5" s="10"/>
    </row>
    <row r="6" ht="22.5" customHeight="1" spans="1:11">
      <c r="A6" s="11">
        <v>1</v>
      </c>
      <c r="B6" s="12">
        <v>20260322</v>
      </c>
      <c r="C6" s="12" t="s">
        <v>14</v>
      </c>
      <c r="D6" s="12" t="s">
        <v>15</v>
      </c>
      <c r="E6" s="12">
        <v>1100</v>
      </c>
      <c r="F6" s="12" t="s">
        <v>16</v>
      </c>
      <c r="G6" s="12"/>
      <c r="H6" s="12"/>
    </row>
    <row r="7" ht="22.5" customHeight="1" spans="1:11">
      <c r="A7" s="13">
        <v>2</v>
      </c>
      <c r="B7" s="14">
        <v>20260322</v>
      </c>
      <c r="C7" s="14" t="s">
        <v>17</v>
      </c>
      <c r="D7" s="14" t="s">
        <v>18</v>
      </c>
      <c r="E7" s="14">
        <v>0</v>
      </c>
      <c r="F7" s="14" t="s">
        <v>16</v>
      </c>
      <c r="G7" s="14" t="s">
        <v>19</v>
      </c>
      <c r="H7" s="14"/>
    </row>
    <row r="8" ht="22.5" customHeight="1" spans="1:11">
      <c r="A8" s="11">
        <v>3</v>
      </c>
      <c r="B8" s="12">
        <v>20260324</v>
      </c>
      <c r="C8" s="12" t="s">
        <v>20</v>
      </c>
      <c r="D8" s="12" t="s">
        <v>21</v>
      </c>
      <c r="E8" s="12">
        <v>8.16</v>
      </c>
      <c r="F8" s="12" t="s">
        <v>16</v>
      </c>
      <c r="G8" s="12"/>
      <c r="H8" s="12"/>
    </row>
    <row r="9" ht="22.5" customHeight="1" spans="1:11">
      <c r="A9" s="13">
        <v>4</v>
      </c>
      <c r="B9" s="14">
        <v>20260324</v>
      </c>
      <c r="C9" s="14" t="s">
        <v>22</v>
      </c>
      <c r="D9" s="14" t="s">
        <v>21</v>
      </c>
      <c r="E9" s="14">
        <v>12.8</v>
      </c>
      <c r="F9" s="14" t="s">
        <v>23</v>
      </c>
      <c r="G9" s="14" t="s">
        <v>24</v>
      </c>
      <c r="H9" s="14"/>
    </row>
    <row r="10" ht="22.5" customHeight="1" spans="1:11">
      <c r="A10" s="11">
        <v>5</v>
      </c>
      <c r="B10" s="12">
        <v>20260324</v>
      </c>
      <c r="C10" s="12" t="s">
        <v>25</v>
      </c>
      <c r="D10" s="12" t="s">
        <v>21</v>
      </c>
      <c r="E10" s="12">
        <v>12.5</v>
      </c>
      <c r="F10" s="12" t="s">
        <v>16</v>
      </c>
      <c r="G10" s="12"/>
      <c r="H10" s="12"/>
    </row>
    <row r="11" ht="45" customHeight="1" spans="1:11">
      <c r="A11" s="13">
        <v>6</v>
      </c>
      <c r="B11" s="14">
        <v>20260325</v>
      </c>
      <c r="C11" s="14" t="s">
        <v>26</v>
      </c>
      <c r="D11" s="14" t="s">
        <v>15</v>
      </c>
      <c r="E11" s="14">
        <v>3</v>
      </c>
      <c r="F11" s="14" t="s">
        <v>16</v>
      </c>
      <c r="G11" s="15" t="s">
        <v>27</v>
      </c>
      <c r="H11" s="14"/>
    </row>
    <row r="12" ht="22.5" customHeight="1" spans="1:11">
      <c r="A12" s="11">
        <v>7</v>
      </c>
      <c r="B12" s="12">
        <v>20260328</v>
      </c>
      <c r="C12" s="12" t="s">
        <v>28</v>
      </c>
      <c r="D12" s="12" t="s">
        <v>15</v>
      </c>
      <c r="E12" s="12">
        <v>86.31</v>
      </c>
      <c r="F12" s="12" t="s">
        <v>16</v>
      </c>
      <c r="G12" s="12"/>
      <c r="H12" s="12"/>
    </row>
    <row r="13" ht="22.5" customHeight="1" spans="1:11">
      <c r="A13" s="13">
        <v>8</v>
      </c>
      <c r="B13" s="14">
        <v>20260328</v>
      </c>
      <c r="C13" s="14" t="s">
        <v>29</v>
      </c>
      <c r="D13" s="14" t="s">
        <v>15</v>
      </c>
      <c r="E13" s="14">
        <v>38.8</v>
      </c>
      <c r="F13" s="14" t="s">
        <v>16</v>
      </c>
      <c r="G13" s="14"/>
      <c r="H13" s="14"/>
    </row>
    <row r="14" ht="32" customHeight="1" spans="1:11">
      <c r="A14" s="11">
        <v>9</v>
      </c>
      <c r="B14" s="12">
        <v>20260328</v>
      </c>
      <c r="C14" s="12" t="s">
        <v>30</v>
      </c>
      <c r="D14" s="12" t="s">
        <v>21</v>
      </c>
      <c r="E14" s="12">
        <v>22</v>
      </c>
      <c r="F14" s="12" t="s">
        <v>16</v>
      </c>
      <c r="G14" s="12"/>
      <c r="H14" s="12"/>
    </row>
    <row r="15" ht="32" customHeight="1" spans="1:11">
      <c r="A15" s="13">
        <v>10</v>
      </c>
      <c r="B15" s="14">
        <v>20260328</v>
      </c>
      <c r="C15" s="14" t="s">
        <v>31</v>
      </c>
      <c r="D15" s="14" t="s">
        <v>21</v>
      </c>
      <c r="E15" s="14">
        <v>10.4</v>
      </c>
      <c r="F15" s="14" t="s">
        <v>16</v>
      </c>
      <c r="G15" s="14" t="s">
        <v>32</v>
      </c>
      <c r="H15" s="14"/>
    </row>
    <row r="16" ht="22.5" customHeight="1" spans="1:11">
      <c r="A16" s="11">
        <v>11</v>
      </c>
      <c r="B16" s="12">
        <v>20260328</v>
      </c>
      <c r="C16" s="12" t="s">
        <v>33</v>
      </c>
      <c r="D16" s="12" t="s">
        <v>21</v>
      </c>
      <c r="E16" s="12">
        <v>16</v>
      </c>
      <c r="F16" s="12" t="s">
        <v>16</v>
      </c>
      <c r="G16" s="12" t="s">
        <v>34</v>
      </c>
      <c r="H16" s="12"/>
    </row>
    <row r="17" ht="31" customHeight="1" spans="1:8">
      <c r="A17" s="13">
        <v>12</v>
      </c>
      <c r="B17" s="14">
        <v>20260328</v>
      </c>
      <c r="C17" s="14" t="s">
        <v>35</v>
      </c>
      <c r="D17" s="14" t="s">
        <v>15</v>
      </c>
      <c r="E17" s="14">
        <v>0.03</v>
      </c>
      <c r="F17" s="14" t="s">
        <v>36</v>
      </c>
      <c r="G17" s="14"/>
      <c r="H17" s="14"/>
    </row>
    <row r="18" ht="22.5" customHeight="1" spans="1:8">
      <c r="A18" s="11">
        <v>13</v>
      </c>
      <c r="B18" s="12">
        <v>20260329</v>
      </c>
      <c r="C18" s="12" t="s">
        <v>37</v>
      </c>
      <c r="D18" s="12" t="s">
        <v>15</v>
      </c>
      <c r="E18" s="12">
        <v>1</v>
      </c>
      <c r="F18" s="12" t="s">
        <v>38</v>
      </c>
      <c r="G18" s="12" t="s">
        <v>39</v>
      </c>
      <c r="H18" s="12"/>
    </row>
    <row r="19" ht="30" customHeight="1" spans="1:8">
      <c r="A19" s="16">
        <v>14</v>
      </c>
      <c r="B19" s="17">
        <v>20260329</v>
      </c>
      <c r="C19" s="17" t="s">
        <v>35</v>
      </c>
      <c r="D19" s="17" t="s">
        <v>15</v>
      </c>
      <c r="E19" s="17">
        <v>0.03</v>
      </c>
      <c r="F19" s="17" t="s">
        <v>36</v>
      </c>
      <c r="G19" s="17"/>
      <c r="H19" s="17"/>
    </row>
    <row r="21" customHeight="1" spans="1:8">
      <c r="A21" s="1" t="s">
        <v>40</v>
      </c>
    </row>
  </sheetData>
  <mergeCells count="18">
    <mergeCell ref="A1:H1"/>
    <mergeCell ref="A4:H4"/>
    <mergeCell ref="G5:H5"/>
    <mergeCell ref="G6:H6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A21:B2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33417</dc:creator>
  <cp:lastModifiedBy>WPS_1687248333</cp:lastModifiedBy>
  <dcterms:created xsi:type="dcterms:W3CDTF">2023-05-12T11:15:00Z</dcterms:created>
  <dcterms:modified xsi:type="dcterms:W3CDTF">2026-03-29T16:16:21Z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B52A884F1973462CB2F783D8B724CD7C_12</vt:lpwstr>
  </property>
  <property fmtid="{D5CDD505-2E9C-101B-9397-08002B2CF9AE}" pid="4" name="CalculationRule">
    <vt:i4>0</vt:i4>
  </property>
</Properties>
</file>